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UI ZITA\Desktop\"/>
    </mc:Choice>
  </mc:AlternateContent>
  <xr:revisionPtr revIDLastSave="0" documentId="13_ncr:1_{EFF53158-14B4-48E6-85FC-1D839013CB88}" xr6:coauthVersionLast="47" xr6:coauthVersionMax="47" xr10:uidLastSave="{00000000-0000-0000-0000-000000000000}"/>
  <bookViews>
    <workbookView xWindow="-120" yWindow="-120" windowWidth="20730" windowHeight="11040" tabRatio="781" xr2:uid="{7D1E2C6C-7E4F-4C9E-91DC-1F7B53865157}"/>
  </bookViews>
  <sheets>
    <sheet name="Dashboard" sheetId="1" r:id="rId1"/>
    <sheet name="Projetos" sheetId="2" r:id="rId2"/>
    <sheet name="Tarefas" sheetId="3" r:id="rId3"/>
    <sheet name="Recursos" sheetId="4" r:id="rId4"/>
    <sheet name="Custos" sheetId="5" state="hidden" r:id="rId5"/>
    <sheet name="Riscos" sheetId="6" state="hidden" r:id="rId6"/>
    <sheet name="Fornecedores" sheetId="7" state="hidden" r:id="rId7"/>
    <sheet name="Cronograma" sheetId="8" r:id="rId8"/>
    <sheet name="Configuracoes" sheetId="9" r:id="rId9"/>
    <sheet name="Base_Dados" sheetId="10" r:id="rId10"/>
  </sheets>
  <definedNames>
    <definedName name="Lista_Custos" comment="Equipamentos Serviços Pessoal Transporte Material Outros">Configuracoes!$D$4:$D$9</definedName>
    <definedName name="Lista_Departamentos" comment="TI Financeiro Logística Operações RH Compras">Configuracoes!$C$4:$C$9</definedName>
    <definedName name="Lista_Prioridade" comment="Alta Média Baixa">Configuracoes!$B$4:$B$6</definedName>
    <definedName name="Lista_Riscos" comment="Financeiro Operacional Técnico Fornecedor Prazo">Configuracoes!$E$4:$E$8</definedName>
    <definedName name="Lista_Status" comment="Planeado Em andamento Concluído Cancelado Suspenso">Configuracoes!$A$4:$A$8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13" i="10"/>
  <c r="B14" i="10"/>
  <c r="B12" i="10"/>
  <c r="B4" i="10"/>
  <c r="B5" i="10"/>
  <c r="B6" i="10"/>
  <c r="B7" i="10"/>
  <c r="B8" i="10"/>
  <c r="D4" i="1"/>
  <c r="D9" i="1"/>
  <c r="F4" i="1"/>
  <c r="H4" i="1"/>
  <c r="B4" i="1"/>
</calcChain>
</file>

<file path=xl/sharedStrings.xml><?xml version="1.0" encoding="utf-8"?>
<sst xmlns="http://schemas.openxmlformats.org/spreadsheetml/2006/main" count="223" uniqueCount="135">
  <si>
    <t>ID</t>
  </si>
  <si>
    <t>Projeto</t>
  </si>
  <si>
    <t>Cliente</t>
  </si>
  <si>
    <t>Gestor</t>
  </si>
  <si>
    <t>Início</t>
  </si>
  <si>
    <t>Fim</t>
  </si>
  <si>
    <t>Status</t>
  </si>
  <si>
    <t>Orçamento</t>
  </si>
  <si>
    <t>PRJ0001</t>
  </si>
  <si>
    <t>Implementação ERP</t>
  </si>
  <si>
    <t>Empresa Alpha</t>
  </si>
  <si>
    <t>Rui Edson</t>
  </si>
  <si>
    <t>01/08/2026</t>
  </si>
  <si>
    <t>30/10/2026</t>
  </si>
  <si>
    <t>Em andamento</t>
  </si>
  <si>
    <t>Data Inicio</t>
  </si>
  <si>
    <t>Data Fim</t>
  </si>
  <si>
    <t>PRJ0002</t>
  </si>
  <si>
    <t>Expansão Rede Lojas</t>
  </si>
  <si>
    <t>Empresa Beta</t>
  </si>
  <si>
    <t>Ana Silva</t>
  </si>
  <si>
    <t>15/08/2026</t>
  </si>
  <si>
    <t>20/12/2026</t>
  </si>
  <si>
    <t>Planeado</t>
  </si>
  <si>
    <t>PRJ0003</t>
  </si>
  <si>
    <t>Sistema Controle Stock</t>
  </si>
  <si>
    <t>Empresa Gamma</t>
  </si>
  <si>
    <t>Carlos João</t>
  </si>
  <si>
    <t>01/09/2026</t>
  </si>
  <si>
    <t>15/11/2026</t>
  </si>
  <si>
    <t>PRJ0004</t>
  </si>
  <si>
    <t>Aquisição Equipamentos</t>
  </si>
  <si>
    <t>Empresa Delta</t>
  </si>
  <si>
    <t>Maria Costa</t>
  </si>
  <si>
    <t>10/09/2026</t>
  </si>
  <si>
    <t>30/09/2026</t>
  </si>
  <si>
    <t>Concluído</t>
  </si>
  <si>
    <t>PRJ0005</t>
  </si>
  <si>
    <t>Construção Armazém</t>
  </si>
  <si>
    <t>Empresa Omega</t>
  </si>
  <si>
    <t>Pedro Manuel</t>
  </si>
  <si>
    <t>05/10/2026</t>
  </si>
  <si>
    <t>30/03/2027</t>
  </si>
  <si>
    <t>PROJECT MANAGEMENT SYSTEM</t>
  </si>
  <si>
    <t>% Conclusão</t>
  </si>
  <si>
    <t>SYSTEM CONFIGURATIONS</t>
  </si>
  <si>
    <t>Prioridade</t>
  </si>
  <si>
    <t>Departamento</t>
  </si>
  <si>
    <t>Categoria Custos</t>
  </si>
  <si>
    <t>Tipo Risco</t>
  </si>
  <si>
    <t>Cancelado</t>
  </si>
  <si>
    <t>Suspenso</t>
  </si>
  <si>
    <t>Alta</t>
  </si>
  <si>
    <t>Média</t>
  </si>
  <si>
    <t>Baixa</t>
  </si>
  <si>
    <t>TI</t>
  </si>
  <si>
    <t>Financeiro</t>
  </si>
  <si>
    <t>Logística</t>
  </si>
  <si>
    <t>Operações</t>
  </si>
  <si>
    <t>RH</t>
  </si>
  <si>
    <t>Compras</t>
  </si>
  <si>
    <t>Equipamentos</t>
  </si>
  <si>
    <t>Serviços</t>
  </si>
  <si>
    <t>Pessoal</t>
  </si>
  <si>
    <t>Transporte</t>
  </si>
  <si>
    <t>Material</t>
  </si>
  <si>
    <t>Outros</t>
  </si>
  <si>
    <t>Operacional</t>
  </si>
  <si>
    <t>Técnico</t>
  </si>
  <si>
    <t>Fornecedor</t>
  </si>
  <si>
    <t>Prazo</t>
  </si>
  <si>
    <t>TASK MANAGEMENT</t>
  </si>
  <si>
    <t>ID Tarefa</t>
  </si>
  <si>
    <t>ID Projeto</t>
  </si>
  <si>
    <t>Tarefa</t>
  </si>
  <si>
    <t>Responsável</t>
  </si>
  <si>
    <t>Data Início</t>
  </si>
  <si>
    <t>Observações</t>
  </si>
  <si>
    <t>TAR0001</t>
  </si>
  <si>
    <t>Levantamento de requisitos</t>
  </si>
  <si>
    <t>05/08/2026</t>
  </si>
  <si>
    <t>Requisitos aprovados</t>
  </si>
  <si>
    <t>TAR0002</t>
  </si>
  <si>
    <t>Configuração do servidor</t>
  </si>
  <si>
    <t>06/08/2026</t>
  </si>
  <si>
    <t>Em execução</t>
  </si>
  <si>
    <t>TAR0003</t>
  </si>
  <si>
    <t>Instalação da rede</t>
  </si>
  <si>
    <t>30/08/2026</t>
  </si>
  <si>
    <t>Aguarda início</t>
  </si>
  <si>
    <t>TAR0004</t>
  </si>
  <si>
    <t>Testes do sistema</t>
  </si>
  <si>
    <t>05/09/2026</t>
  </si>
  <si>
    <t>12/09/2026</t>
  </si>
  <si>
    <t>Testes funcionais</t>
  </si>
  <si>
    <t>TAR0005</t>
  </si>
  <si>
    <t>Entrega dos equipamentos</t>
  </si>
  <si>
    <t>20/09/2026</t>
  </si>
  <si>
    <t>Entrega finalizada</t>
  </si>
  <si>
    <t>PROJECT MANAGEMENT DASHBOARD</t>
  </si>
  <si>
    <t>📁 Total de Projetos</t>
  </si>
  <si>
    <t>🔄 Projetos Ativos</t>
  </si>
  <si>
    <t>✅ Concluídos</t>
  </si>
  <si>
    <t>📋 Total de Tarefas</t>
  </si>
  <si>
    <t>📊 % Médio Conclusão</t>
  </si>
  <si>
    <t>💰 Orçamento Total</t>
  </si>
  <si>
    <t>PRJ0006</t>
  </si>
  <si>
    <t>Novo Projeto Teste</t>
  </si>
  <si>
    <t>Empresa Nova</t>
  </si>
  <si>
    <t>01/11/2026</t>
  </si>
  <si>
    <t>30/12/2026</t>
  </si>
  <si>
    <t>DASHBOARD DATA</t>
  </si>
  <si>
    <t>Quantidade</t>
  </si>
  <si>
    <t>ID Recurso</t>
  </si>
  <si>
    <t>Nome</t>
  </si>
  <si>
    <t>Cargo</t>
  </si>
  <si>
    <t>Disponibilidade</t>
  </si>
  <si>
    <t>REC001</t>
  </si>
  <si>
    <t>Gestor de Projeto</t>
  </si>
  <si>
    <t>REC002</t>
  </si>
  <si>
    <t>Analista de Redes</t>
  </si>
  <si>
    <t>REC003</t>
  </si>
  <si>
    <t>Técnico de Sistemas</t>
  </si>
  <si>
    <t>REC004</t>
  </si>
  <si>
    <t>Atividade</t>
  </si>
  <si>
    <t>CR001</t>
  </si>
  <si>
    <t>Levantamento requisitos</t>
  </si>
  <si>
    <t>CR002</t>
  </si>
  <si>
    <t>Configuração servidor</t>
  </si>
  <si>
    <t>CR003</t>
  </si>
  <si>
    <t>Instalação rede</t>
  </si>
  <si>
    <t>CR004</t>
  </si>
  <si>
    <t>Testes sistema</t>
  </si>
  <si>
    <t>CR005</t>
  </si>
  <si>
    <t>Entrega equipamentos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</si>
</sst>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&quot;* #,##0.00_-;\-&quot;R&quot;* #,##0.00_-;_-&quot;R&quot;* &quot;-&quot;??_-;_-@_-"/>
    <numFmt numFmtId="43" formatCode="_-* #,##0.00_-;\-* #,##0.00_-;_-* &quot;-&quot;??_-;_-@_-"/>
    <numFmt numFmtId="164" formatCode="&quot;R&quot;#,##0.00"/>
    <numFmt numFmtId="165" formatCode="dd/mm/yyyy"/>
    <numFmt numFmtId="166" formatCode="_-* #,##0_-;\-* #,##0_-;_-* &quot;-&quot;??_-;_-@_-"/>
    <numFmt numFmtId="167" formatCode="[$MZN]\ #,##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20"/>
      <color theme="0"/>
      <name val="Aptos Display"/>
      <family val="2"/>
      <scheme val="major"/>
    </font>
    <font>
      <sz val="20"/>
      <color theme="1"/>
      <name val="Aptos Display"/>
      <family val="2"/>
      <scheme val="major"/>
    </font>
    <font>
      <b/>
      <sz val="26"/>
      <color theme="1"/>
      <name val="Aptos Display"/>
      <family val="2"/>
      <scheme val="major"/>
    </font>
    <font>
      <b/>
      <sz val="28"/>
      <color theme="1"/>
      <name val="Aptos Display"/>
      <family val="2"/>
      <scheme val="major"/>
    </font>
    <font>
      <b/>
      <sz val="18"/>
      <color theme="1"/>
      <name val="Aptos Display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vertical="center" wrapText="1"/>
    </xf>
    <xf numFmtId="166" fontId="0" fillId="0" borderId="0" xfId="1" applyNumberFormat="1" applyFont="1" applyAlignment="1">
      <alignment vertical="center" wrapText="1"/>
    </xf>
    <xf numFmtId="9" fontId="0" fillId="0" borderId="0" xfId="3" applyFont="1" applyAlignment="1">
      <alignment vertical="center" wrapText="1"/>
    </xf>
    <xf numFmtId="9" fontId="0" fillId="0" borderId="0" xfId="0" applyNumberFormat="1"/>
    <xf numFmtId="9" fontId="0" fillId="0" borderId="0" xfId="3" applyFont="1"/>
    <xf numFmtId="0" fontId="2" fillId="4" borderId="0" xfId="0" applyFont="1" applyFill="1" applyAlignment="1">
      <alignment horizontal="center"/>
    </xf>
    <xf numFmtId="9" fontId="0" fillId="0" borderId="0" xfId="0" applyNumberFormat="1" applyAlignment="1">
      <alignment vertical="center" wrapText="1"/>
    </xf>
    <xf numFmtId="0" fontId="0" fillId="6" borderId="0" xfId="0" applyFill="1"/>
    <xf numFmtId="0" fontId="0" fillId="6" borderId="7" xfId="0" applyFill="1" applyBorder="1"/>
    <xf numFmtId="0" fontId="3" fillId="11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7" fillId="5" borderId="3" xfId="0" quotePrefix="1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9" fontId="6" fillId="10" borderId="3" xfId="0" applyNumberFormat="1" applyFont="1" applyFill="1" applyBorder="1" applyAlignment="1">
      <alignment horizontal="center"/>
    </xf>
    <xf numFmtId="0" fontId="6" fillId="10" borderId="4" xfId="0" applyFont="1" applyFill="1" applyBorder="1" applyAlignment="1">
      <alignment horizontal="center"/>
    </xf>
    <xf numFmtId="0" fontId="6" fillId="10" borderId="5" xfId="0" applyFont="1" applyFill="1" applyBorder="1" applyAlignment="1">
      <alignment horizontal="center"/>
    </xf>
    <xf numFmtId="0" fontId="6" fillId="10" borderId="6" xfId="0" applyFont="1" applyFill="1" applyBorder="1" applyAlignment="1">
      <alignment horizontal="center"/>
    </xf>
    <xf numFmtId="167" fontId="8" fillId="11" borderId="3" xfId="2" applyNumberFormat="1" applyFont="1" applyFill="1" applyBorder="1" applyAlignment="1">
      <alignment horizontal="center"/>
    </xf>
    <xf numFmtId="167" fontId="8" fillId="11" borderId="4" xfId="2" applyNumberFormat="1" applyFont="1" applyFill="1" applyBorder="1" applyAlignment="1">
      <alignment horizontal="center"/>
    </xf>
    <xf numFmtId="167" fontId="8" fillId="11" borderId="5" xfId="2" applyNumberFormat="1" applyFont="1" applyFill="1" applyBorder="1" applyAlignment="1">
      <alignment horizontal="center"/>
    </xf>
    <xf numFmtId="167" fontId="8" fillId="11" borderId="6" xfId="2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6" fillId="9" borderId="3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center"/>
    </xf>
    <xf numFmtId="0" fontId="6" fillId="9" borderId="5" xfId="0" applyFont="1" applyFill="1" applyBorder="1" applyAlignment="1">
      <alignment horizontal="center"/>
    </xf>
    <xf numFmtId="0" fontId="6" fillId="9" borderId="6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/>
    </xf>
    <xf numFmtId="0" fontId="6" fillId="8" borderId="6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</cellXfs>
  <cellStyles count="4">
    <cellStyle name="Moeda" xfId="2" builtinId="4"/>
    <cellStyle name="Normal" xfId="0" builtinId="0"/>
    <cellStyle name="Percentagem" xfId="3" builtinId="5"/>
    <cellStyle name="Vírgula" xfId="1" builtinId="3"/>
  </cellStyles>
  <dxfs count="49"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2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</font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</dxf>
    <dxf>
      <font>
        <b/>
      </font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</dxf>
    <dxf>
      <font>
        <b/>
      </font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</dxf>
    <dxf>
      <font>
        <b/>
      </font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</dxf>
    <dxf>
      <font>
        <b/>
      </font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66" formatCode="_-* #,##0_-;\-* #,##0_-;_-* &quot;-&quot;??_-;_-@_-"/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dd/mm/yyyy"/>
      <alignment horizontal="general" vertical="center" textRotation="0" wrapText="1" indent="0" justifyLastLine="0" shrinkToFit="0" readingOrder="0"/>
    </dxf>
    <dxf>
      <numFmt numFmtId="165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ZA"/>
              <a:t>Projetos por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Base_Dados!$B$3</c:f>
              <c:strCache>
                <c:ptCount val="1"/>
                <c:pt idx="0">
                  <c:v>Quantidade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Base_Dados!$A$4:$A$8</c:f>
              <c:strCache>
                <c:ptCount val="5"/>
                <c:pt idx="0">
                  <c:v>Planeado</c:v>
                </c:pt>
                <c:pt idx="1">
                  <c:v>Em andamento</c:v>
                </c:pt>
                <c:pt idx="2">
                  <c:v>Concluído</c:v>
                </c:pt>
                <c:pt idx="3">
                  <c:v>Cancelado</c:v>
                </c:pt>
                <c:pt idx="4">
                  <c:v>Suspenso</c:v>
                </c:pt>
              </c:strCache>
            </c:strRef>
          </c:cat>
          <c:val>
            <c:numRef>
              <c:f>Base_Dados!$B$4:$B$8</c:f>
              <c:numCache>
                <c:formatCode>General</c:formatCode>
                <c:ptCount val="5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85-44EC-86B2-E7CCC45443B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585552351"/>
        <c:axId val="1585550431"/>
      </c:barChart>
      <c:catAx>
        <c:axId val="158555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585550431"/>
        <c:crosses val="autoZero"/>
        <c:auto val="1"/>
        <c:lblAlgn val="ctr"/>
        <c:lblOffset val="100"/>
        <c:noMultiLvlLbl val="0"/>
      </c:catAx>
      <c:valAx>
        <c:axId val="15855504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8555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Tarefas por Prioridade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Base_Dados!$B$11</c:f>
              <c:strCache>
                <c:ptCount val="1"/>
                <c:pt idx="0">
                  <c:v>Quantidade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A1-400F-88A9-9189380AFD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A1-400F-88A9-9189380AFD7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2A1-400F-88A9-9189380AFD7A}"/>
              </c:ext>
            </c:extLst>
          </c:dPt>
          <c:dLbls>
            <c:dLbl>
              <c:idx val="0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12A1-400F-88A9-9189380AFD7A}"/>
                </c:ext>
              </c:extLst>
            </c:dLbl>
            <c:dLbl>
              <c:idx val="1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12A1-400F-88A9-9189380AFD7A}"/>
                </c:ext>
              </c:extLst>
            </c:dLbl>
            <c:dLbl>
              <c:idx val="2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12A1-400F-88A9-9189380AFD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Base_Dados!$A$12:$A$14</c:f>
              <c:strCache>
                <c:ptCount val="3"/>
                <c:pt idx="0">
                  <c:v>Alta</c:v>
                </c:pt>
                <c:pt idx="1">
                  <c:v>Média</c:v>
                </c:pt>
                <c:pt idx="2">
                  <c:v>Baixa</c:v>
                </c:pt>
              </c:strCache>
            </c:strRef>
          </c:cat>
          <c:val>
            <c:numRef>
              <c:f>Base_Dados!$B$12:$B$14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A1-400F-88A9-9189380AF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>
        <c:manualLayout>
          <c:layoutTarget val="inner"/>
          <c:xMode val="edge"/>
          <c:yMode val="edge"/>
          <c:x val="0.23812744240303296"/>
          <c:y val="0.14687581699346408"/>
          <c:w val="0.68139107611548555"/>
          <c:h val="0.6851855282795532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Base_Dados!$B$3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Base_Dados!$A$4:$A$8</c:f>
              <c:strCache>
                <c:ptCount val="5"/>
                <c:pt idx="0">
                  <c:v>Planeado</c:v>
                </c:pt>
                <c:pt idx="1">
                  <c:v>Em andamento</c:v>
                </c:pt>
                <c:pt idx="2">
                  <c:v>Concluído</c:v>
                </c:pt>
                <c:pt idx="3">
                  <c:v>Cancelado</c:v>
                </c:pt>
                <c:pt idx="4">
                  <c:v>Suspenso</c:v>
                </c:pt>
              </c:strCache>
            </c:strRef>
          </c:cat>
          <c:val>
            <c:numRef>
              <c:f>Base_Dados!$B$4:$B$8</c:f>
              <c:numCache>
                <c:formatCode>General</c:formatCode>
                <c:ptCount val="5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D1-466F-B332-88D0B2DB7AB5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4111231"/>
        <c:axId val="1664112671"/>
      </c:barChart>
      <c:catAx>
        <c:axId val="166411123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664112671"/>
        <c:crosses val="autoZero"/>
        <c:auto val="1"/>
        <c:lblAlgn val="ctr"/>
        <c:lblOffset val="100"/>
        <c:noMultiLvlLbl val="0"/>
      </c:catAx>
      <c:valAx>
        <c:axId val="16641126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664111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188416</xdr:rowOff>
    </xdr:from>
    <xdr:to>
      <xdr:col>3</xdr:col>
      <xdr:colOff>238125</xdr:colOff>
      <xdr:row>24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F8D3FF9-B033-4BDF-B267-FC71841D6943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257176</xdr:colOff>
      <xdr:row>11</xdr:row>
      <xdr:rowOff>188400</xdr:rowOff>
    </xdr:from>
    <xdr:to>
      <xdr:col>7</xdr:col>
      <xdr:colOff>9526</xdr:colOff>
      <xdr:row>24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766E76B-3AA2-496A-AF60-83ED1018E929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19051</xdr:colOff>
      <xdr:row>12</xdr:row>
      <xdr:rowOff>0</xdr:rowOff>
    </xdr:from>
    <xdr:to>
      <xdr:col>10</xdr:col>
      <xdr:colOff>1</xdr:colOff>
      <xdr:row>24</xdr:row>
      <xdr:rowOff>180975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8E4B72A-89F8-4CA5-96E5-06D2E4C825ED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8D1256-F817-4B6A-B39C-75AF4AC48245}" name="tblProjetos" displayName="tblProjetos" ref="A3:I9" totalsRowShown="0" headerRowDxfId="48" dataDxfId="47">
  <autoFilter ref="A3:I9" xr:uid="{F58D1256-F817-4B6A-B39C-75AF4AC48245}"/>
  <tableColumns count="9">
    <tableColumn id="1" xr3:uid="{791AE65A-69BD-47D3-B866-BCEB06B79E57}" name="ID" dataDxfId="46"/>
    <tableColumn id="2" xr3:uid="{AF6CB3C5-504B-4722-986F-4FE2ADEA3BE1}" name="Projeto" dataDxfId="45"/>
    <tableColumn id="3" xr3:uid="{3D2904D4-39C4-4683-A765-27EDF2193BE4}" name="Cliente" dataDxfId="44"/>
    <tableColumn id="4" xr3:uid="{6CD3792C-D8E3-48D0-9948-0FCFB5C8F2ED}" name="Gestor" dataDxfId="43"/>
    <tableColumn id="5" xr3:uid="{9E263D8C-ACB6-4228-90ED-F1DAAF478FB7}" name="Data Inicio" dataDxfId="42"/>
    <tableColumn id="6" xr3:uid="{DF86B29F-550B-4978-9B78-34E5B49405E6}" name="Data Fim" dataDxfId="41"/>
    <tableColumn id="9" xr3:uid="{3E25276D-E8E1-477B-B834-4E0899A63771}" name="% Conclusão" dataCellStyle="Percentagem"/>
    <tableColumn id="7" xr3:uid="{0854B18D-8E79-4409-A1B5-9AF3322F31A5}" name="Status" dataDxfId="40"/>
    <tableColumn id="8" xr3:uid="{4E77611A-33E9-4644-B3E9-4022A7790397}" name="Orçamento" dataDxfId="39" dataCellStyle="Vírgul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B15E74C-17E5-4B08-A1CF-A3C46EBF70B7}" name="tblTarefas" displayName="tblTarefas" ref="A3:J8" totalsRowShown="0">
  <autoFilter ref="A3:J8" xr:uid="{1B15E74C-17E5-4B08-A1CF-A3C46EBF70B7}"/>
  <tableColumns count="10">
    <tableColumn id="1" xr3:uid="{A33CB3D8-482C-4B01-84D3-3EA763A99EDF}" name="ID Tarefa"/>
    <tableColumn id="2" xr3:uid="{8914CAB4-D99D-4AD0-9D3E-C64DA3D082BB}" name="ID Projeto"/>
    <tableColumn id="3" xr3:uid="{6BED70F4-AA4D-42A7-A7DA-8D59F3698F50}" name="Tarefa"/>
    <tableColumn id="4" xr3:uid="{DBF55676-EFAC-4C31-9E24-D0FF941B3063}" name="Responsável"/>
    <tableColumn id="5" xr3:uid="{D5B0EBD6-510E-4371-BCA8-7FC4C90C07D6}" name="Data Início"/>
    <tableColumn id="6" xr3:uid="{8B76A9E6-972B-42B4-9F32-53AF685D5BC1}" name="Data Fim"/>
    <tableColumn id="7" xr3:uid="{A25F7CFE-207E-4CA1-B2AB-034CCA62AC5B}" name="Prioridade"/>
    <tableColumn id="8" xr3:uid="{16B8F54B-64F2-4D11-9F96-4CC5878B8E0D}" name="Status"/>
    <tableColumn id="9" xr3:uid="{8BFB1088-CA08-4C6E-B18E-E340BBACC883}" name="% Conclusão" dataCellStyle="Percentagem"/>
    <tableColumn id="10" xr3:uid="{1737C208-E771-46DB-956E-C14F8E1FADBF}" name="Observaçõ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6CE1065-3F9D-4C54-9A74-18B2073156B6}" name="tblRecursos" displayName="tblRecursos" ref="A3:E7" totalsRowShown="0" headerRowDxfId="38" dataDxfId="37">
  <autoFilter ref="A3:E7" xr:uid="{36CE1065-3F9D-4C54-9A74-18B2073156B6}"/>
  <tableColumns count="5">
    <tableColumn id="1" xr3:uid="{87561147-29C9-44EF-845F-279BD1D7BAD9}" name="ID Recurso" dataDxfId="36"/>
    <tableColumn id="2" xr3:uid="{E67F47F6-B3E7-4004-8E64-B49A2EAB7F1F}" name="Nome" dataDxfId="35"/>
    <tableColumn id="3" xr3:uid="{328719F8-8107-4868-8AE1-04BAE2DCE833}" name="Cargo" dataDxfId="34"/>
    <tableColumn id="4" xr3:uid="{50F4F737-FC2D-4D77-A9AF-EE8370AB28B6}" name="Departamento" dataDxfId="33"/>
    <tableColumn id="5" xr3:uid="{0B0EB670-FB49-455A-9E43-C255471EFCCB}" name="Disponibilidade" dataDxfId="3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2DF756C-780D-418D-AF0D-9EDA7D323768}" name="tblCronograma" displayName="tblCronograma" ref="A1:H6" totalsRowShown="0" headerRowDxfId="31" dataDxfId="30">
  <autoFilter ref="A1:H6" xr:uid="{72DF756C-780D-418D-AF0D-9EDA7D323768}"/>
  <tableColumns count="8">
    <tableColumn id="1" xr3:uid="{0F1B50F1-49D1-4484-8998-6806D3FF7C31}" name="ID" dataDxfId="29"/>
    <tableColumn id="2" xr3:uid="{5AD35839-CF18-4716-824C-D2D8C6E3C36D}" name="Projeto" dataDxfId="28"/>
    <tableColumn id="3" xr3:uid="{7BB7F972-2067-41C5-A368-A7340472A489}" name="Atividade" dataDxfId="27"/>
    <tableColumn id="4" xr3:uid="{5630D139-B9C4-4E92-8B1F-86FF6959A569}" name="Responsável" dataDxfId="26"/>
    <tableColumn id="5" xr3:uid="{5C1B5806-FE33-44B9-B719-71B1E2547862}" name="Início" dataDxfId="25"/>
    <tableColumn id="6" xr3:uid="{11512B92-7DEC-4E49-B4DD-892160F0A455}" name="Fim" dataDxfId="24"/>
    <tableColumn id="7" xr3:uid="{58D1FFCC-1D2D-485A-AFFF-03CD307897DB}" name="% Conclusão" dataDxfId="23"/>
    <tableColumn id="8" xr3:uid="{84801F71-27A1-402A-9395-215EC838C8A8}" name="Status" dataDxfId="2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9B43CC-8C4F-4DEC-9A0F-ED205E878668}" name="tblStatus" displayName="tblStatus" ref="A3:A8" totalsRowShown="0" headerRowDxfId="21">
  <autoFilter ref="A3:A8" xr:uid="{AD9B43CC-8C4F-4DEC-9A0F-ED205E878668}"/>
  <tableColumns count="1">
    <tableColumn id="1" xr3:uid="{45C5374F-11B2-4B41-A8E5-2B890E929925}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82267E-49AC-4845-992E-6B15EC16FB27}" name="tblPrioridade" displayName="tblPrioridade" ref="B3:B6" totalsRowShown="0" headerRowDxfId="20">
  <autoFilter ref="B3:B6" xr:uid="{1682267E-49AC-4845-992E-6B15EC16FB27}"/>
  <tableColumns count="1">
    <tableColumn id="1" xr3:uid="{87489EAA-8DBA-4D63-8176-6062A23DB945}" name="Prioridad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E40F745-F98A-4134-9B47-B24B3388A85D}" name="tblDepartamento" displayName="tblDepartamento" ref="C3:C9" totalsRowShown="0" headerRowDxfId="19">
  <autoFilter ref="C3:C9" xr:uid="{5E40F745-F98A-4134-9B47-B24B3388A85D}"/>
  <tableColumns count="1">
    <tableColumn id="1" xr3:uid="{DAF9CAE7-4088-42C1-AD70-2EE70A6B0DFA}" name="Departament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F338884-2E84-4F83-B180-5ECBFA34B24A}" name="tblCustos" displayName="tblCustos" ref="D3:D9" totalsRowShown="0" headerRowDxfId="18">
  <autoFilter ref="D3:D9" xr:uid="{8F338884-2E84-4F83-B180-5ECBFA34B24A}"/>
  <tableColumns count="1">
    <tableColumn id="1" xr3:uid="{C77E0441-A2B5-43F0-9A9A-7D3426B182C9}" name="Categoria Custo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BFF2BBA-A177-472D-A0BE-7DFDF5B58CE5}" name="tblRiscos" displayName="tblRiscos" ref="E3:E8" totalsRowShown="0" headerRowDxfId="17">
  <autoFilter ref="E3:E8" xr:uid="{2BFF2BBA-A177-472D-A0BE-7DFDF5B58CE5}"/>
  <tableColumns count="1">
    <tableColumn id="1" xr3:uid="{06528BC1-1A24-45E5-BDEC-31506CBCA506}" name="Tipo Risc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4C75591-5B29-4112-BB40-6226452059EC}" name="tblDashboardStatus" displayName="tblDashboardStatus" ref="A3:B8" totalsRowShown="0">
  <autoFilter ref="A3:B8" xr:uid="{D4C75591-5B29-4112-BB40-6226452059EC}"/>
  <tableColumns count="2">
    <tableColumn id="1" xr3:uid="{5ED7760B-9A77-4A9E-8727-017BBAA848BB}" name="Status" dataDxfId="16"/>
    <tableColumn id="2" xr3:uid="{BB731290-58F5-4F8E-95A1-0B4C9676EA50}" name="Quantidade">
      <calculatedColumnFormula>COUNTIF(tblProjetos[Status],A4)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3194E92-0572-48AC-88AD-F51C35054F72}" name="Tabela11" displayName="Tabela11" ref="A11:B14" totalsRowShown="0" headerRowDxfId="15" dataDxfId="14">
  <autoFilter ref="A11:B14" xr:uid="{73194E92-0572-48AC-88AD-F51C35054F72}"/>
  <tableColumns count="2">
    <tableColumn id="1" xr3:uid="{88D00B76-90B6-433E-8389-344AC1A28AB8}" name="Prioridade" dataDxfId="13"/>
    <tableColumn id="2" xr3:uid="{0D1E99D7-DBF0-4B0E-B611-7C8FF4D7C2B5}" name="Quantidade" dataDxfId="12">
      <calculatedColumnFormula>COUNTIF(tblTarefas[Prioridade],A12)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05D46-57E7-43BF-A0B3-862834945D37}">
  <sheetPr>
    <tabColor theme="4" tint="-0.249977111117893"/>
  </sheetPr>
  <dimension ref="A1:J25"/>
  <sheetViews>
    <sheetView showGridLines="0" tabSelected="1" zoomScale="70" zoomScaleNormal="70" workbookViewId="0">
      <selection activeCell="U17" sqref="U17"/>
    </sheetView>
  </sheetViews>
  <sheetFormatPr defaultRowHeight="15" x14ac:dyDescent="0.25"/>
  <cols>
    <col min="2" max="9" width="12.7109375" customWidth="1"/>
  </cols>
  <sheetData>
    <row r="1" spans="1:10" ht="26.25" x14ac:dyDescent="0.4">
      <c r="A1" s="45" t="s">
        <v>99</v>
      </c>
      <c r="B1" s="46"/>
      <c r="C1" s="46"/>
      <c r="D1" s="46"/>
      <c r="E1" s="46"/>
      <c r="F1" s="46"/>
      <c r="G1" s="46"/>
      <c r="H1" s="46"/>
      <c r="I1" s="46"/>
      <c r="J1" s="46"/>
    </row>
    <row r="2" spans="1:10" ht="15.75" thickBot="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</row>
    <row r="3" spans="1:10" ht="20.100000000000001" customHeight="1" x14ac:dyDescent="0.25">
      <c r="A3" s="12"/>
      <c r="B3" s="47" t="s">
        <v>100</v>
      </c>
      <c r="C3" s="48"/>
      <c r="D3" s="51" t="s">
        <v>101</v>
      </c>
      <c r="E3" s="52"/>
      <c r="F3" s="53" t="s">
        <v>102</v>
      </c>
      <c r="G3" s="54"/>
      <c r="H3" s="35" t="s">
        <v>103</v>
      </c>
      <c r="I3" s="36"/>
      <c r="J3" s="12"/>
    </row>
    <row r="4" spans="1:10" ht="20.100000000000001" customHeight="1" x14ac:dyDescent="0.25">
      <c r="A4" s="12"/>
      <c r="B4" s="23">
        <f>COUNTA(tblProjetos[ID])</f>
        <v>6</v>
      </c>
      <c r="C4" s="24"/>
      <c r="D4" s="19">
        <f>COUNTIF(tblProjetos[Status],"Em andamento")</f>
        <v>4</v>
      </c>
      <c r="E4" s="20"/>
      <c r="F4" s="41">
        <f>COUNTIF(tblProjetos[Status],"Concluído")</f>
        <v>1</v>
      </c>
      <c r="G4" s="42"/>
      <c r="H4" s="37">
        <f>COUNTA(tblTarefas[ID Tarefa])</f>
        <v>5</v>
      </c>
      <c r="I4" s="38"/>
      <c r="J4" s="12"/>
    </row>
    <row r="5" spans="1:10" ht="20.100000000000001" customHeight="1" thickBot="1" x14ac:dyDescent="0.3">
      <c r="A5" s="12"/>
      <c r="B5" s="25"/>
      <c r="C5" s="26"/>
      <c r="D5" s="21"/>
      <c r="E5" s="22"/>
      <c r="F5" s="43"/>
      <c r="G5" s="44"/>
      <c r="H5" s="39"/>
      <c r="I5" s="40"/>
      <c r="J5" s="12"/>
    </row>
    <row r="6" spans="1:10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0" ht="15.75" thickBot="1" x14ac:dyDescent="0.3">
      <c r="A7" s="12"/>
      <c r="B7" s="12"/>
      <c r="C7" s="12"/>
      <c r="D7" s="12"/>
      <c r="E7" s="12"/>
      <c r="F7" s="12"/>
      <c r="G7" s="12"/>
      <c r="H7" s="12"/>
      <c r="I7" s="12"/>
      <c r="J7" s="12"/>
    </row>
    <row r="8" spans="1:10" ht="20.100000000000001" customHeight="1" x14ac:dyDescent="0.25">
      <c r="A8" s="12"/>
      <c r="B8" s="49" t="s">
        <v>104</v>
      </c>
      <c r="C8" s="50"/>
      <c r="D8" s="55" t="s">
        <v>105</v>
      </c>
      <c r="E8" s="56"/>
      <c r="F8" s="12"/>
      <c r="G8" s="12"/>
      <c r="H8" s="12"/>
      <c r="I8" s="12"/>
      <c r="J8" s="12"/>
    </row>
    <row r="9" spans="1:10" ht="20.100000000000001" customHeight="1" x14ac:dyDescent="0.25">
      <c r="A9" s="12"/>
      <c r="B9" s="27">
        <f>AVERAGE(tblTarefas[% Conclusão])</f>
        <v>0.54</v>
      </c>
      <c r="C9" s="28"/>
      <c r="D9" s="31">
        <f>SUM(tblProjetos[Orçamento])</f>
        <v>5850000</v>
      </c>
      <c r="E9" s="32"/>
      <c r="F9" s="12"/>
      <c r="G9" s="12"/>
      <c r="H9" s="12"/>
      <c r="I9" s="12"/>
      <c r="J9" s="12"/>
    </row>
    <row r="10" spans="1:10" ht="20.100000000000001" customHeight="1" thickBot="1" x14ac:dyDescent="0.3">
      <c r="A10" s="12"/>
      <c r="B10" s="29"/>
      <c r="C10" s="30"/>
      <c r="D10" s="33"/>
      <c r="E10" s="34"/>
      <c r="F10" s="12"/>
      <c r="G10" s="12"/>
      <c r="H10" s="12"/>
      <c r="I10" s="12"/>
      <c r="J10" s="12"/>
    </row>
    <row r="11" spans="1:10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 spans="1:10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spans="1:10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</row>
    <row r="17" spans="1:10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</row>
    <row r="18" spans="1:10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</row>
    <row r="20" spans="1:10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 spans="1:10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 spans="1:10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0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spans="1:10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</row>
    <row r="25" spans="1:10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</row>
  </sheetData>
  <mergeCells count="13">
    <mergeCell ref="A1:J1"/>
    <mergeCell ref="B3:C3"/>
    <mergeCell ref="B8:C8"/>
    <mergeCell ref="D3:E3"/>
    <mergeCell ref="F3:G3"/>
    <mergeCell ref="D8:E8"/>
    <mergeCell ref="D4:E5"/>
    <mergeCell ref="B4:C5"/>
    <mergeCell ref="B9:C10"/>
    <mergeCell ref="D9:E10"/>
    <mergeCell ref="H3:I3"/>
    <mergeCell ref="H4:I5"/>
    <mergeCell ref="F4:G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DFD0B-6181-44C7-8AF2-8076482FCC24}">
  <sheetPr>
    <tabColor theme="2" tint="-9.9978637043366805E-2"/>
  </sheetPr>
  <dimension ref="A1:I9"/>
  <sheetViews>
    <sheetView zoomScale="90" zoomScaleNormal="90" workbookViewId="0">
      <pane ySplit="1" topLeftCell="A2" activePane="bottomLeft" state="frozen"/>
      <selection pane="bottomLeft" activeCell="B13" sqref="B13"/>
    </sheetView>
  </sheetViews>
  <sheetFormatPr defaultRowHeight="15" x14ac:dyDescent="0.25"/>
  <cols>
    <col min="1" max="1" width="12.7109375" customWidth="1"/>
    <col min="2" max="2" width="35.7109375" customWidth="1"/>
    <col min="3" max="3" width="30.7109375" customWidth="1"/>
    <col min="4" max="4" width="25.7109375" customWidth="1"/>
    <col min="5" max="7" width="15.7109375" customWidth="1"/>
    <col min="8" max="9" width="18.7109375" customWidth="1"/>
  </cols>
  <sheetData>
    <row r="1" spans="1:9" ht="21" x14ac:dyDescent="0.35">
      <c r="A1" s="17" t="s">
        <v>43</v>
      </c>
      <c r="B1" s="18"/>
      <c r="C1" s="18"/>
      <c r="D1" s="18"/>
      <c r="E1" s="18"/>
      <c r="F1" s="18"/>
      <c r="G1" s="18"/>
      <c r="H1" s="18"/>
      <c r="I1" s="18"/>
    </row>
    <row r="3" spans="1:9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15</v>
      </c>
      <c r="F3" s="3" t="s">
        <v>16</v>
      </c>
      <c r="G3" s="7" t="s">
        <v>44</v>
      </c>
      <c r="H3" s="3" t="s">
        <v>6</v>
      </c>
      <c r="I3" s="4" t="s">
        <v>7</v>
      </c>
    </row>
    <row r="4" spans="1:9" x14ac:dyDescent="0.25">
      <c r="A4" s="3" t="s">
        <v>8</v>
      </c>
      <c r="B4" s="3" t="s">
        <v>9</v>
      </c>
      <c r="C4" s="3" t="s">
        <v>10</v>
      </c>
      <c r="D4" s="3" t="s">
        <v>11</v>
      </c>
      <c r="E4" s="5" t="s">
        <v>12</v>
      </c>
      <c r="F4" s="5" t="s">
        <v>13</v>
      </c>
      <c r="G4" s="9">
        <v>0.75</v>
      </c>
      <c r="H4" s="1" t="s">
        <v>14</v>
      </c>
      <c r="I4" s="6">
        <v>850000</v>
      </c>
    </row>
    <row r="5" spans="1:9" x14ac:dyDescent="0.25">
      <c r="A5" s="3" t="s">
        <v>17</v>
      </c>
      <c r="B5" s="3" t="s">
        <v>18</v>
      </c>
      <c r="C5" s="3" t="s">
        <v>19</v>
      </c>
      <c r="D5" s="3" t="s">
        <v>20</v>
      </c>
      <c r="E5" s="5" t="s">
        <v>21</v>
      </c>
      <c r="F5" s="5" t="s">
        <v>22</v>
      </c>
      <c r="G5" s="9">
        <v>0.3</v>
      </c>
      <c r="H5" s="1" t="s">
        <v>14</v>
      </c>
      <c r="I5" s="6">
        <v>1200000</v>
      </c>
    </row>
    <row r="6" spans="1:9" x14ac:dyDescent="0.25">
      <c r="A6" s="3" t="s">
        <v>24</v>
      </c>
      <c r="B6" s="3" t="s">
        <v>25</v>
      </c>
      <c r="C6" s="3" t="s">
        <v>26</v>
      </c>
      <c r="D6" s="3" t="s">
        <v>27</v>
      </c>
      <c r="E6" s="5" t="s">
        <v>28</v>
      </c>
      <c r="F6" s="5" t="s">
        <v>29</v>
      </c>
      <c r="G6" s="9">
        <v>0.5</v>
      </c>
      <c r="H6" s="1" t="s">
        <v>14</v>
      </c>
      <c r="I6" s="6">
        <v>450000</v>
      </c>
    </row>
    <row r="7" spans="1:9" x14ac:dyDescent="0.25">
      <c r="A7" s="3" t="s">
        <v>30</v>
      </c>
      <c r="B7" s="3" t="s">
        <v>31</v>
      </c>
      <c r="C7" s="3" t="s">
        <v>32</v>
      </c>
      <c r="D7" s="3" t="s">
        <v>33</v>
      </c>
      <c r="E7" s="5" t="s">
        <v>34</v>
      </c>
      <c r="F7" s="5" t="s">
        <v>35</v>
      </c>
      <c r="G7" s="9">
        <v>1</v>
      </c>
      <c r="H7" s="1" t="s">
        <v>36</v>
      </c>
      <c r="I7" s="6">
        <v>250000</v>
      </c>
    </row>
    <row r="8" spans="1:9" x14ac:dyDescent="0.25">
      <c r="A8" s="3" t="s">
        <v>37</v>
      </c>
      <c r="B8" s="3" t="s">
        <v>38</v>
      </c>
      <c r="C8" s="3" t="s">
        <v>39</v>
      </c>
      <c r="D8" s="3" t="s">
        <v>40</v>
      </c>
      <c r="E8" s="5" t="s">
        <v>41</v>
      </c>
      <c r="F8" s="5" t="s">
        <v>42</v>
      </c>
      <c r="G8" s="9">
        <v>0.1</v>
      </c>
      <c r="H8" s="1" t="s">
        <v>14</v>
      </c>
      <c r="I8" s="6">
        <v>3000000</v>
      </c>
    </row>
    <row r="9" spans="1:9" x14ac:dyDescent="0.25">
      <c r="A9" t="s">
        <v>106</v>
      </c>
      <c r="B9" t="s">
        <v>107</v>
      </c>
      <c r="C9" t="s">
        <v>108</v>
      </c>
      <c r="D9" t="s">
        <v>11</v>
      </c>
      <c r="E9" t="s">
        <v>109</v>
      </c>
      <c r="F9" s="5" t="s">
        <v>110</v>
      </c>
      <c r="G9" s="7">
        <v>0</v>
      </c>
      <c r="H9" s="1" t="s">
        <v>23</v>
      </c>
      <c r="I9" s="6">
        <v>100000</v>
      </c>
    </row>
  </sheetData>
  <mergeCells count="1">
    <mergeCell ref="A1:I1"/>
  </mergeCells>
  <conditionalFormatting sqref="G4:G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{047746AA-BE7A-4443-BECE-377538A08948}</x14:id>
        </ext>
      </extLst>
    </cfRule>
  </conditionalFormatting>
  <conditionalFormatting sqref="H4:H9">
    <cfRule type="cellIs" dxfId="11" priority="1" operator="equal">
      <formula>"Cancelado"</formula>
    </cfRule>
    <cfRule type="cellIs" dxfId="10" priority="2" operator="equal">
      <formula>"Pendente"</formula>
    </cfRule>
    <cfRule type="cellIs" dxfId="9" priority="3" operator="equal">
      <formula>"Planeado"</formula>
    </cfRule>
    <cfRule type="cellIs" dxfId="8" priority="4" operator="equal">
      <formula>"Planeado"</formula>
    </cfRule>
    <cfRule type="cellIs" dxfId="7" priority="5" operator="equal">
      <formula>"Em andamento"</formula>
    </cfRule>
    <cfRule type="cellIs" dxfId="6" priority="6" operator="equal">
      <formula>"Concluído"</formula>
    </cfRule>
  </conditionalFormatting>
  <dataValidations count="1">
    <dataValidation type="list" allowBlank="1" showInputMessage="1" showErrorMessage="1" errorTitle="Status inválido" error="Selecione um status disponível na lista." sqref="H4:H1048576" xr:uid="{D7FB83FD-97DF-4AED-B8A0-27F29279173C}">
      <formula1>Lista_Status</formula1>
    </dataValidation>
  </dataValidations>
  <pageMargins left="0.7" right="0.7" top="0.75" bottom="0.75" header="0.3" footer="0.3"/>
  <pageSetup paperSize="9" orientation="landscape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7746AA-BE7A-4443-BECE-377538A089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G4:G9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D91C3-F082-4F1C-A862-26EDE01B89C1}">
  <sheetPr>
    <tabColor theme="2" tint="-9.9978637043366805E-2"/>
  </sheetPr>
  <dimension ref="A1:J8"/>
  <sheetViews>
    <sheetView workbookViewId="0">
      <selection activeCell="J7" sqref="J7"/>
    </sheetView>
  </sheetViews>
  <sheetFormatPr defaultRowHeight="15" x14ac:dyDescent="0.25"/>
  <cols>
    <col min="1" max="1" width="11.140625" customWidth="1"/>
    <col min="2" max="2" width="12.140625" customWidth="1"/>
    <col min="4" max="4" width="14.7109375" customWidth="1"/>
    <col min="5" max="5" width="12.7109375" customWidth="1"/>
    <col min="6" max="6" width="11" customWidth="1"/>
    <col min="7" max="7" width="12.42578125" customWidth="1"/>
    <col min="8" max="8" width="9.140625" customWidth="1"/>
    <col min="9" max="9" width="14.7109375" customWidth="1"/>
    <col min="10" max="10" width="14.85546875" customWidth="1"/>
  </cols>
  <sheetData>
    <row r="1" spans="1:10" ht="21" x14ac:dyDescent="0.35">
      <c r="A1" s="15" t="s">
        <v>71</v>
      </c>
      <c r="B1" s="16"/>
      <c r="C1" s="16"/>
      <c r="D1" s="16"/>
      <c r="E1" s="16"/>
      <c r="F1" s="16"/>
      <c r="G1" s="16"/>
      <c r="H1" s="16"/>
      <c r="I1" s="16"/>
      <c r="J1" s="16"/>
    </row>
    <row r="3" spans="1:10" x14ac:dyDescent="0.25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16</v>
      </c>
      <c r="G3" t="s">
        <v>46</v>
      </c>
      <c r="H3" t="s">
        <v>6</v>
      </c>
      <c r="I3" t="s">
        <v>44</v>
      </c>
      <c r="J3" t="s">
        <v>77</v>
      </c>
    </row>
    <row r="4" spans="1:10" ht="60" x14ac:dyDescent="0.25">
      <c r="A4" s="3" t="s">
        <v>78</v>
      </c>
      <c r="B4" s="3" t="s">
        <v>8</v>
      </c>
      <c r="C4" s="3" t="s">
        <v>79</v>
      </c>
      <c r="D4" s="3" t="s">
        <v>11</v>
      </c>
      <c r="E4" s="3" t="s">
        <v>12</v>
      </c>
      <c r="F4" s="3" t="s">
        <v>80</v>
      </c>
      <c r="G4" s="3" t="s">
        <v>52</v>
      </c>
      <c r="H4" s="3" t="s">
        <v>36</v>
      </c>
      <c r="I4" s="7">
        <v>1</v>
      </c>
      <c r="J4" s="3" t="s">
        <v>81</v>
      </c>
    </row>
    <row r="5" spans="1:10" ht="45" x14ac:dyDescent="0.25">
      <c r="A5" s="3" t="s">
        <v>82</v>
      </c>
      <c r="B5" s="3" t="s">
        <v>8</v>
      </c>
      <c r="C5" s="3" t="s">
        <v>83</v>
      </c>
      <c r="D5" s="3" t="s">
        <v>11</v>
      </c>
      <c r="E5" s="3" t="s">
        <v>84</v>
      </c>
      <c r="F5" s="3" t="s">
        <v>21</v>
      </c>
      <c r="G5" s="3" t="s">
        <v>52</v>
      </c>
      <c r="H5" s="3" t="s">
        <v>14</v>
      </c>
      <c r="I5" s="7">
        <v>0.7</v>
      </c>
      <c r="J5" s="3" t="s">
        <v>85</v>
      </c>
    </row>
    <row r="6" spans="1:10" ht="45" x14ac:dyDescent="0.25">
      <c r="A6" s="3" t="s">
        <v>86</v>
      </c>
      <c r="B6" s="3" t="s">
        <v>17</v>
      </c>
      <c r="C6" s="3" t="s">
        <v>87</v>
      </c>
      <c r="D6" s="3" t="s">
        <v>20</v>
      </c>
      <c r="E6" s="3" t="s">
        <v>21</v>
      </c>
      <c r="F6" s="3" t="s">
        <v>88</v>
      </c>
      <c r="G6" s="3" t="s">
        <v>53</v>
      </c>
      <c r="H6" s="3" t="s">
        <v>23</v>
      </c>
      <c r="I6" s="8">
        <v>0</v>
      </c>
      <c r="J6" t="s">
        <v>89</v>
      </c>
    </row>
    <row r="7" spans="1:10" ht="45" x14ac:dyDescent="0.25">
      <c r="A7" s="3" t="s">
        <v>90</v>
      </c>
      <c r="B7" s="3" t="s">
        <v>24</v>
      </c>
      <c r="C7" s="3" t="s">
        <v>91</v>
      </c>
      <c r="D7" s="3" t="s">
        <v>27</v>
      </c>
      <c r="E7" s="3" t="s">
        <v>92</v>
      </c>
      <c r="F7" s="3" t="s">
        <v>93</v>
      </c>
      <c r="G7" s="3" t="s">
        <v>52</v>
      </c>
      <c r="H7" s="3" t="s">
        <v>23</v>
      </c>
      <c r="I7" s="7">
        <v>0</v>
      </c>
      <c r="J7" s="3" t="s">
        <v>94</v>
      </c>
    </row>
    <row r="8" spans="1:10" ht="60" x14ac:dyDescent="0.25">
      <c r="A8" s="3" t="s">
        <v>95</v>
      </c>
      <c r="B8" s="3" t="s">
        <v>30</v>
      </c>
      <c r="C8" s="3" t="s">
        <v>96</v>
      </c>
      <c r="D8" s="3" t="s">
        <v>33</v>
      </c>
      <c r="E8" s="3" t="s">
        <v>97</v>
      </c>
      <c r="F8" s="3" t="s">
        <v>35</v>
      </c>
      <c r="G8" s="3" t="s">
        <v>54</v>
      </c>
      <c r="H8" s="3" t="s">
        <v>36</v>
      </c>
      <c r="I8" s="7">
        <v>1</v>
      </c>
      <c r="J8" s="3" t="s">
        <v>98</v>
      </c>
    </row>
  </sheetData>
  <conditionalFormatting sqref="H4:H1048576">
    <cfRule type="cellIs" dxfId="5" priority="2" operator="equal">
      <formula>"Suspenso"</formula>
    </cfRule>
    <cfRule type="cellIs" dxfId="4" priority="3" operator="equal">
      <formula>"Cancelado"</formula>
    </cfRule>
    <cfRule type="cellIs" dxfId="3" priority="4" operator="equal">
      <formula>"Pendente"</formula>
    </cfRule>
    <cfRule type="cellIs" dxfId="2" priority="5" operator="equal">
      <formula>"Planeado"</formula>
    </cfRule>
    <cfRule type="cellIs" dxfId="1" priority="6" operator="equal">
      <formula>"Em andamento"</formula>
    </cfRule>
    <cfRule type="cellIs" dxfId="0" priority="7" operator="equal">
      <formula>"Concluído"</formula>
    </cfRule>
  </conditionalFormatting>
  <conditionalFormatting sqref="I4:I5 I7:I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{67322F7C-6619-4FDE-A557-663D4F2C1F26}</x14:id>
        </ext>
      </extLst>
    </cfRule>
  </conditionalFormatting>
  <dataValidations count="2">
    <dataValidation type="list" allowBlank="1" showInputMessage="1" showErrorMessage="1" sqref="H4:H1048576" xr:uid="{E896F002-4770-4A65-BC11-542F848A6413}">
      <formula1>Lista_Status</formula1>
    </dataValidation>
    <dataValidation type="list" allowBlank="1" showInputMessage="1" showErrorMessage="1" sqref="G4:G1048576" xr:uid="{A3F9CEC5-7C5F-41B4-AA40-622E4A4BFF65}">
      <formula1>Lista_Prioridade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322F7C-6619-4FDE-A557-663D4F2C1F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I4:I5 I7:I8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DE101-5438-4737-9D3F-CBD4ADB58AC3}">
  <sheetPr>
    <tabColor theme="2" tint="-9.9978637043366805E-2"/>
  </sheetPr>
  <dimension ref="A3:E7"/>
  <sheetViews>
    <sheetView workbookViewId="0">
      <selection activeCell="A3" sqref="A3:E7"/>
    </sheetView>
  </sheetViews>
  <sheetFormatPr defaultRowHeight="15" x14ac:dyDescent="0.25"/>
  <cols>
    <col min="1" max="1" width="13" customWidth="1"/>
    <col min="4" max="4" width="16.140625" customWidth="1"/>
    <col min="5" max="5" width="17.42578125" customWidth="1"/>
  </cols>
  <sheetData>
    <row r="3" spans="1:5" ht="30" x14ac:dyDescent="0.25">
      <c r="A3" s="2" t="s">
        <v>113</v>
      </c>
      <c r="B3" s="2" t="s">
        <v>114</v>
      </c>
      <c r="C3" s="2" t="s">
        <v>115</v>
      </c>
      <c r="D3" s="2" t="s">
        <v>47</v>
      </c>
      <c r="E3" s="2" t="s">
        <v>116</v>
      </c>
    </row>
    <row r="4" spans="1:5" ht="45" x14ac:dyDescent="0.25">
      <c r="A4" s="3" t="s">
        <v>117</v>
      </c>
      <c r="B4" s="3" t="s">
        <v>11</v>
      </c>
      <c r="C4" s="3" t="s">
        <v>118</v>
      </c>
      <c r="D4" s="3" t="s">
        <v>55</v>
      </c>
      <c r="E4" s="11">
        <v>1</v>
      </c>
    </row>
    <row r="5" spans="1:5" ht="30" x14ac:dyDescent="0.25">
      <c r="A5" s="3" t="s">
        <v>119</v>
      </c>
      <c r="B5" s="3" t="s">
        <v>20</v>
      </c>
      <c r="C5" s="3" t="s">
        <v>120</v>
      </c>
      <c r="D5" s="3" t="s">
        <v>55</v>
      </c>
      <c r="E5" s="11">
        <v>1</v>
      </c>
    </row>
    <row r="6" spans="1:5" ht="45" x14ac:dyDescent="0.25">
      <c r="A6" s="3" t="s">
        <v>121</v>
      </c>
      <c r="B6" s="3" t="s">
        <v>27</v>
      </c>
      <c r="C6" s="3" t="s">
        <v>122</v>
      </c>
      <c r="D6" s="3" t="s">
        <v>55</v>
      </c>
      <c r="E6" s="11">
        <v>0.8</v>
      </c>
    </row>
    <row r="7" spans="1:5" ht="30" x14ac:dyDescent="0.25">
      <c r="A7" s="3" t="s">
        <v>123</v>
      </c>
      <c r="B7" s="3" t="s">
        <v>33</v>
      </c>
      <c r="C7" s="3" t="s">
        <v>60</v>
      </c>
      <c r="D7" s="3" t="s">
        <v>60</v>
      </c>
      <c r="E7" s="11">
        <v>0.6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CE325-CC2D-4568-B038-193A1DB70EB1}">
  <sheetPr>
    <tabColor theme="2" tint="-9.9978637043366805E-2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CB40B-9BBD-40C7-AFAC-DBE063759A47}">
  <sheetPr>
    <tabColor theme="2" tint="-9.9978637043366805E-2"/>
  </sheetPr>
  <dimension ref="A1"/>
  <sheetViews>
    <sheetView workbookViewId="0">
      <selection activeCell="M33" sqref="M33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6D59F-629D-4868-91BF-6E068D48D8FF}">
  <sheetPr>
    <tabColor theme="2" tint="-9.9978637043366805E-2"/>
  </sheetPr>
  <dimension ref="A1"/>
  <sheetViews>
    <sheetView workbookViewId="0">
      <selection activeCell="K29" sqref="K29"/>
    </sheetView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3DABA-E257-4740-9C38-4027FE8C71DF}">
  <sheetPr>
    <tabColor theme="9" tint="0.39997558519241921"/>
  </sheetPr>
  <dimension ref="A1:H6"/>
  <sheetViews>
    <sheetView workbookViewId="0">
      <selection activeCell="O6" sqref="O6"/>
    </sheetView>
  </sheetViews>
  <sheetFormatPr defaultRowHeight="15" x14ac:dyDescent="0.25"/>
  <cols>
    <col min="2" max="2" width="9.7109375" customWidth="1"/>
    <col min="3" max="3" width="11.5703125" customWidth="1"/>
    <col min="4" max="4" width="14.7109375" customWidth="1"/>
    <col min="7" max="7" width="14.7109375" customWidth="1"/>
  </cols>
  <sheetData>
    <row r="1" spans="1:8" x14ac:dyDescent="0.25">
      <c r="A1" s="2" t="s">
        <v>0</v>
      </c>
      <c r="B1" s="2" t="s">
        <v>1</v>
      </c>
      <c r="C1" s="2" t="s">
        <v>124</v>
      </c>
      <c r="D1" s="2" t="s">
        <v>75</v>
      </c>
      <c r="E1" s="2" t="s">
        <v>4</v>
      </c>
      <c r="F1" s="2" t="s">
        <v>5</v>
      </c>
      <c r="G1" s="2" t="s">
        <v>44</v>
      </c>
      <c r="H1" s="2" t="s">
        <v>6</v>
      </c>
    </row>
    <row r="2" spans="1:8" ht="45" x14ac:dyDescent="0.25">
      <c r="A2" s="3" t="s">
        <v>125</v>
      </c>
      <c r="B2" s="3" t="s">
        <v>9</v>
      </c>
      <c r="C2" s="3" t="s">
        <v>126</v>
      </c>
      <c r="D2" s="3" t="s">
        <v>11</v>
      </c>
      <c r="E2" s="3" t="s">
        <v>12</v>
      </c>
      <c r="F2" s="3" t="s">
        <v>80</v>
      </c>
      <c r="G2" s="11">
        <v>1</v>
      </c>
      <c r="H2" s="3" t="s">
        <v>36</v>
      </c>
    </row>
    <row r="3" spans="1:8" ht="45" x14ac:dyDescent="0.25">
      <c r="A3" s="3" t="s">
        <v>127</v>
      </c>
      <c r="B3" s="3" t="s">
        <v>9</v>
      </c>
      <c r="C3" s="3" t="s">
        <v>128</v>
      </c>
      <c r="D3" s="3" t="s">
        <v>11</v>
      </c>
      <c r="E3" s="3" t="s">
        <v>84</v>
      </c>
      <c r="F3" s="3" t="s">
        <v>21</v>
      </c>
      <c r="G3" s="11">
        <v>0.7</v>
      </c>
      <c r="H3" s="3" t="s">
        <v>14</v>
      </c>
    </row>
    <row r="4" spans="1:8" ht="45" x14ac:dyDescent="0.25">
      <c r="A4" s="3" t="s">
        <v>129</v>
      </c>
      <c r="B4" s="3" t="s">
        <v>18</v>
      </c>
      <c r="C4" s="3" t="s">
        <v>130</v>
      </c>
      <c r="D4" s="3" t="s">
        <v>20</v>
      </c>
      <c r="E4" s="3" t="s">
        <v>21</v>
      </c>
      <c r="F4" s="3" t="s">
        <v>88</v>
      </c>
      <c r="G4" s="11">
        <v>0</v>
      </c>
      <c r="H4" s="3" t="s">
        <v>23</v>
      </c>
    </row>
    <row r="5" spans="1:8" ht="45" x14ac:dyDescent="0.25">
      <c r="A5" s="3" t="s">
        <v>131</v>
      </c>
      <c r="B5" s="3" t="s">
        <v>25</v>
      </c>
      <c r="C5" s="3" t="s">
        <v>132</v>
      </c>
      <c r="D5" s="3" t="s">
        <v>27</v>
      </c>
      <c r="E5" s="3" t="s">
        <v>92</v>
      </c>
      <c r="F5" s="3" t="s">
        <v>93</v>
      </c>
      <c r="G5" s="11">
        <v>0</v>
      </c>
      <c r="H5" s="3" t="s">
        <v>23</v>
      </c>
    </row>
    <row r="6" spans="1:8" ht="60" x14ac:dyDescent="0.25">
      <c r="A6" s="3" t="s">
        <v>133</v>
      </c>
      <c r="B6" s="3" t="s">
        <v>31</v>
      </c>
      <c r="C6" s="3" t="s">
        <v>134</v>
      </c>
      <c r="D6" s="3" t="s">
        <v>33</v>
      </c>
      <c r="E6" s="3" t="s">
        <v>97</v>
      </c>
      <c r="F6" s="3" t="s">
        <v>35</v>
      </c>
      <c r="G6" s="11">
        <v>1</v>
      </c>
      <c r="H6" s="3" t="s">
        <v>36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6EE1-117E-4A57-A98A-906FA74978C9}">
  <sheetPr>
    <tabColor theme="8"/>
  </sheetPr>
  <dimension ref="A1:E9"/>
  <sheetViews>
    <sheetView workbookViewId="0">
      <selection activeCell="E16" sqref="E16"/>
    </sheetView>
  </sheetViews>
  <sheetFormatPr defaultRowHeight="15" x14ac:dyDescent="0.25"/>
  <cols>
    <col min="1" max="1" width="20.85546875" customWidth="1"/>
    <col min="2" max="2" width="15.7109375" customWidth="1"/>
    <col min="3" max="3" width="20.7109375" customWidth="1"/>
    <col min="4" max="4" width="25.7109375" customWidth="1"/>
    <col min="5" max="5" width="20.7109375" customWidth="1"/>
  </cols>
  <sheetData>
    <row r="1" spans="1:5" ht="21" x14ac:dyDescent="0.35">
      <c r="A1" s="57" t="s">
        <v>45</v>
      </c>
      <c r="B1" s="57"/>
      <c r="C1" s="57"/>
      <c r="D1" s="57"/>
      <c r="E1" s="57"/>
    </row>
    <row r="3" spans="1:5" x14ac:dyDescent="0.25">
      <c r="A3" s="10" t="s">
        <v>6</v>
      </c>
      <c r="B3" s="10" t="s">
        <v>46</v>
      </c>
      <c r="C3" s="10" t="s">
        <v>47</v>
      </c>
      <c r="D3" s="10" t="s">
        <v>48</v>
      </c>
      <c r="E3" s="10" t="s">
        <v>49</v>
      </c>
    </row>
    <row r="4" spans="1:5" x14ac:dyDescent="0.25">
      <c r="A4" t="s">
        <v>23</v>
      </c>
      <c r="B4" t="s">
        <v>52</v>
      </c>
      <c r="C4" t="s">
        <v>55</v>
      </c>
      <c r="D4" t="s">
        <v>61</v>
      </c>
      <c r="E4" t="s">
        <v>56</v>
      </c>
    </row>
    <row r="5" spans="1:5" x14ac:dyDescent="0.25">
      <c r="A5" t="s">
        <v>14</v>
      </c>
      <c r="B5" t="s">
        <v>53</v>
      </c>
      <c r="C5" t="s">
        <v>56</v>
      </c>
      <c r="D5" t="s">
        <v>62</v>
      </c>
      <c r="E5" t="s">
        <v>67</v>
      </c>
    </row>
    <row r="6" spans="1:5" x14ac:dyDescent="0.25">
      <c r="A6" t="s">
        <v>36</v>
      </c>
      <c r="B6" t="s">
        <v>54</v>
      </c>
      <c r="C6" t="s">
        <v>57</v>
      </c>
      <c r="D6" t="s">
        <v>63</v>
      </c>
      <c r="E6" t="s">
        <v>68</v>
      </c>
    </row>
    <row r="7" spans="1:5" x14ac:dyDescent="0.25">
      <c r="A7" t="s">
        <v>50</v>
      </c>
      <c r="C7" t="s">
        <v>58</v>
      </c>
      <c r="D7" t="s">
        <v>64</v>
      </c>
      <c r="E7" t="s">
        <v>69</v>
      </c>
    </row>
    <row r="8" spans="1:5" x14ac:dyDescent="0.25">
      <c r="A8" t="s">
        <v>51</v>
      </c>
      <c r="C8" t="s">
        <v>59</v>
      </c>
      <c r="D8" t="s">
        <v>65</v>
      </c>
      <c r="E8" t="s">
        <v>70</v>
      </c>
    </row>
    <row r="9" spans="1:5" x14ac:dyDescent="0.25">
      <c r="C9" t="s">
        <v>60</v>
      </c>
      <c r="D9" t="s">
        <v>66</v>
      </c>
    </row>
  </sheetData>
  <mergeCells count="1">
    <mergeCell ref="A1:E1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5E75B-208C-497E-9A0C-4E013142D438}">
  <sheetPr>
    <tabColor theme="8"/>
  </sheetPr>
  <dimension ref="A1:D14"/>
  <sheetViews>
    <sheetView workbookViewId="0">
      <selection activeCell="Q5" sqref="Q5"/>
    </sheetView>
  </sheetViews>
  <sheetFormatPr defaultRowHeight="15" x14ac:dyDescent="0.25"/>
  <cols>
    <col min="1" max="1" width="12.42578125" customWidth="1"/>
    <col min="2" max="2" width="13.5703125" customWidth="1"/>
    <col min="5" max="5" width="13.5703125" customWidth="1"/>
  </cols>
  <sheetData>
    <row r="1" spans="1:4" ht="21" x14ac:dyDescent="0.35">
      <c r="A1" s="14" t="s">
        <v>111</v>
      </c>
      <c r="B1" s="14"/>
      <c r="C1" s="14"/>
      <c r="D1" s="14"/>
    </row>
    <row r="3" spans="1:4" x14ac:dyDescent="0.25">
      <c r="A3" t="s">
        <v>6</v>
      </c>
      <c r="B3" t="s">
        <v>112</v>
      </c>
    </row>
    <row r="4" spans="1:4" ht="30" customHeight="1" x14ac:dyDescent="0.25">
      <c r="A4" s="3" t="s">
        <v>23</v>
      </c>
      <c r="B4">
        <f>COUNTIF(tblProjetos[Status],A4)</f>
        <v>1</v>
      </c>
    </row>
    <row r="5" spans="1:4" ht="45" customHeight="1" x14ac:dyDescent="0.25">
      <c r="A5" s="3" t="s">
        <v>14</v>
      </c>
      <c r="B5">
        <f>COUNTIF(tblProjetos[Status],A5)</f>
        <v>4</v>
      </c>
    </row>
    <row r="6" spans="1:4" ht="30" customHeight="1" x14ac:dyDescent="0.25">
      <c r="A6" s="3" t="s">
        <v>36</v>
      </c>
      <c r="B6">
        <f>COUNTIF(tblProjetos[Status],A6)</f>
        <v>1</v>
      </c>
    </row>
    <row r="7" spans="1:4" ht="30" customHeight="1" x14ac:dyDescent="0.25">
      <c r="A7" s="3" t="s">
        <v>50</v>
      </c>
      <c r="B7">
        <f>COUNTIF(tblProjetos[Status],A7)</f>
        <v>0</v>
      </c>
    </row>
    <row r="8" spans="1:4" ht="30" customHeight="1" x14ac:dyDescent="0.25">
      <c r="A8" s="3" t="s">
        <v>51</v>
      </c>
      <c r="B8">
        <f>COUNTIF(tblProjetos[Status],A8)</f>
        <v>0</v>
      </c>
    </row>
    <row r="11" spans="1:4" ht="30" customHeight="1" x14ac:dyDescent="0.25">
      <c r="A11" s="2" t="s">
        <v>46</v>
      </c>
      <c r="B11" s="2" t="s">
        <v>112</v>
      </c>
    </row>
    <row r="12" spans="1:4" x14ac:dyDescent="0.25">
      <c r="A12" s="3" t="s">
        <v>52</v>
      </c>
      <c r="B12" s="3">
        <f>COUNTIF(tblTarefas[Prioridade],A12)</f>
        <v>3</v>
      </c>
    </row>
    <row r="13" spans="1:4" x14ac:dyDescent="0.25">
      <c r="A13" s="3" t="s">
        <v>53</v>
      </c>
      <c r="B13" s="3">
        <f>COUNTIF(tblTarefas[Prioridade],A13)</f>
        <v>1</v>
      </c>
    </row>
    <row r="14" spans="1:4" x14ac:dyDescent="0.25">
      <c r="A14" s="3" t="s">
        <v>54</v>
      </c>
      <c r="B14" s="3">
        <f>COUNTIF(tblTarefas[Prioridade],A14)</f>
        <v>1</v>
      </c>
    </row>
  </sheetData>
  <pageMargins left="0.7" right="0.7" top="0.75" bottom="0.75" header="0.3" footer="0.3"/>
  <pageSetup paperSize="9" orientation="landscape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10</vt:i4>
      </vt:variant>
      <vt:variant>
        <vt:lpstr>Intervalos com Nome</vt:lpstr>
      </vt:variant>
      <vt:variant>
        <vt:i4>5</vt:i4>
      </vt:variant>
    </vt:vector>
  </HeadingPairs>
  <TitlesOfParts>
    <vt:vector size="15" baseType="lpstr">
      <vt:lpstr>Dashboard</vt:lpstr>
      <vt:lpstr>Projetos</vt:lpstr>
      <vt:lpstr>Tarefas</vt:lpstr>
      <vt:lpstr>Recursos</vt:lpstr>
      <vt:lpstr>Custos</vt:lpstr>
      <vt:lpstr>Riscos</vt:lpstr>
      <vt:lpstr>Fornecedores</vt:lpstr>
      <vt:lpstr>Cronograma</vt:lpstr>
      <vt:lpstr>Configuracoes</vt:lpstr>
      <vt:lpstr>Base_Dados</vt:lpstr>
      <vt:lpstr>Lista_Custos</vt:lpstr>
      <vt:lpstr>Lista_Departamentos</vt:lpstr>
      <vt:lpstr>Lista_Prioridade</vt:lpstr>
      <vt:lpstr>Lista_Riscos</vt:lpstr>
      <vt:lpstr>Lista_Status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Edson</dc:creator>
  <cp:lastModifiedBy>Rui Edson</cp:lastModifiedBy>
  <dcterms:created xsi:type="dcterms:W3CDTF">2026-07-25T22:22:32Z</dcterms:created>
  <dcterms:modified xsi:type="dcterms:W3CDTF">2026-07-28T13:30:59Z</dcterms:modified>
</cp:coreProperties>
</file>